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Max-PC\Desktop\ИТМО\Информатика\Лаба№6\"/>
    </mc:Choice>
  </mc:AlternateContent>
  <bookViews>
    <workbookView xWindow="0" yWindow="0" windowWidth="23040" windowHeight="8820" activeTab="4"/>
  </bookViews>
  <sheets>
    <sheet name="B9" sheetId="1" r:id="rId1"/>
    <sheet name="Справочник" sheetId="43" r:id="rId2"/>
    <sheet name="Расчет отпускных" sheetId="2" r:id="rId3"/>
    <sheet name="E98" sheetId="3" r:id="rId4"/>
    <sheet name="Таблица 1" sheetId="4" r:id="rId5"/>
    <sheet name="Таблица 2" sheetId="5" r:id="rId6"/>
    <sheet name="Турнир 1" sheetId="6" r:id="rId7"/>
    <sheet name="Турнир  2" sheetId="45" r:id="rId8"/>
    <sheet name="Турнир  3" sheetId="48" r:id="rId9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48" l="1"/>
  <c r="C10" i="48"/>
  <c r="D9" i="48"/>
  <c r="C9" i="48"/>
  <c r="D8" i="48"/>
  <c r="C8" i="48"/>
  <c r="D7" i="48"/>
  <c r="D10" i="45"/>
  <c r="C10" i="45"/>
  <c r="D9" i="45"/>
  <c r="C9" i="45"/>
  <c r="D8" i="45"/>
  <c r="C8" i="45"/>
  <c r="D7" i="45"/>
  <c r="C3" i="4"/>
  <c r="J11" i="2"/>
  <c r="F11" i="2"/>
  <c r="H11" i="2" s="1"/>
  <c r="C4" i="4"/>
  <c r="J13" i="2"/>
  <c r="E10" i="1"/>
  <c r="E11" i="1"/>
  <c r="E12" i="1"/>
  <c r="E8" i="1"/>
  <c r="E9" i="1"/>
  <c r="E13" i="1"/>
  <c r="D8" i="1"/>
  <c r="J17" i="3"/>
  <c r="D10" i="6" l="1"/>
  <c r="D9" i="6"/>
  <c r="D8" i="6"/>
  <c r="D7" i="6"/>
  <c r="C10" i="6"/>
  <c r="C9" i="6"/>
  <c r="C8" i="6"/>
  <c r="C5" i="4" l="1"/>
  <c r="C6" i="4"/>
  <c r="C7" i="4"/>
  <c r="C8" i="4"/>
  <c r="C9" i="4"/>
  <c r="C10" i="4"/>
  <c r="C11" i="4"/>
  <c r="C12" i="4"/>
  <c r="C13" i="4"/>
  <c r="C14" i="4" l="1"/>
  <c r="I17" i="3" l="1"/>
  <c r="J16" i="3"/>
  <c r="I16" i="3"/>
  <c r="J15" i="3"/>
  <c r="I15" i="3"/>
  <c r="J14" i="3"/>
  <c r="I14" i="3"/>
  <c r="J13" i="3"/>
  <c r="I13" i="3"/>
  <c r="J12" i="3"/>
  <c r="I12" i="3"/>
  <c r="J11" i="3"/>
  <c r="I11" i="3"/>
  <c r="J10" i="3"/>
  <c r="I10" i="3"/>
  <c r="J9" i="3"/>
  <c r="I9" i="3"/>
  <c r="J8" i="3"/>
  <c r="I8" i="3"/>
  <c r="J7" i="3"/>
  <c r="I7" i="3"/>
  <c r="J6" i="3"/>
  <c r="I6" i="3"/>
  <c r="J5" i="3"/>
  <c r="I5" i="3"/>
  <c r="J4" i="3"/>
  <c r="I4" i="3"/>
  <c r="J3" i="3"/>
  <c r="I3" i="3"/>
  <c r="J2" i="3"/>
  <c r="I2" i="3"/>
  <c r="I12" i="2" l="1"/>
  <c r="I13" i="2"/>
  <c r="I14" i="2"/>
  <c r="I15" i="2"/>
  <c r="I16" i="2"/>
  <c r="I11" i="2"/>
  <c r="F12" i="2"/>
  <c r="H12" i="2" s="1"/>
  <c r="J12" i="2" s="1"/>
  <c r="K12" i="2" s="1"/>
  <c r="F13" i="2"/>
  <c r="H13" i="2" s="1"/>
  <c r="K13" i="2" s="1"/>
  <c r="F14" i="2"/>
  <c r="H14" i="2" s="1"/>
  <c r="J14" i="2" s="1"/>
  <c r="K14" i="2" s="1"/>
  <c r="F15" i="2"/>
  <c r="H15" i="2" s="1"/>
  <c r="J15" i="2" s="1"/>
  <c r="K15" i="2" s="1"/>
  <c r="F16" i="2"/>
  <c r="H16" i="2" s="1"/>
  <c r="J16" i="2" s="1"/>
  <c r="K16" i="2" s="1"/>
  <c r="K11" i="2"/>
  <c r="D14" i="1"/>
  <c r="K17" i="2" l="1"/>
  <c r="E14" i="1"/>
  <c r="D9" i="1"/>
  <c r="D10" i="1"/>
  <c r="D11" i="1"/>
  <c r="D12" i="1"/>
  <c r="D13" i="1"/>
</calcChain>
</file>

<file path=xl/sharedStrings.xml><?xml version="1.0" encoding="utf-8"?>
<sst xmlns="http://schemas.openxmlformats.org/spreadsheetml/2006/main" count="140" uniqueCount="110">
  <si>
    <t>минимальное время</t>
  </si>
  <si>
    <t>мин</t>
  </si>
  <si>
    <t>Расчет стоимости услуг сотовой связи</t>
  </si>
  <si>
    <t>округление</t>
  </si>
  <si>
    <t>Телефон</t>
  </si>
  <si>
    <t>Тариф, руб\мин</t>
  </si>
  <si>
    <t>Время по факту</t>
  </si>
  <si>
    <t>Количество минут</t>
  </si>
  <si>
    <t>Сумма к оплате</t>
  </si>
  <si>
    <t>41-41-41</t>
  </si>
  <si>
    <t>41-77-89</t>
  </si>
  <si>
    <t>73-85-90</t>
  </si>
  <si>
    <t>41-40-40</t>
  </si>
  <si>
    <t>73-00-00</t>
  </si>
  <si>
    <t>73-85-80</t>
  </si>
  <si>
    <t>Итого</t>
  </si>
  <si>
    <t>Лист 1:</t>
  </si>
  <si>
    <t>Справочник</t>
  </si>
  <si>
    <t>Длительность отпуска по КЗоТу</t>
  </si>
  <si>
    <t>Женщинам на каждого ребенка дополнительные дни</t>
  </si>
  <si>
    <t>Сотрудникам со стажем более 5 лет</t>
  </si>
  <si>
    <t>Сотрудникам со стажем  более 10 лет</t>
  </si>
  <si>
    <t>Лист 2:</t>
  </si>
  <si>
    <t>Расчет отпускных</t>
  </si>
  <si>
    <t>Back-end разработка</t>
  </si>
  <si>
    <t>Отдел:</t>
  </si>
  <si>
    <t>Год:</t>
  </si>
  <si>
    <t>Начисление отпускных</t>
  </si>
  <si>
    <t>Код</t>
  </si>
  <si>
    <t>ФИО</t>
  </si>
  <si>
    <t>Дата приема на работу</t>
  </si>
  <si>
    <t>Пол</t>
  </si>
  <si>
    <t>Дети</t>
  </si>
  <si>
    <t>Стаж</t>
  </si>
  <si>
    <t>Средний зароботок</t>
  </si>
  <si>
    <t>Надбавка за стаж</t>
  </si>
  <si>
    <t>Надбавка за детей</t>
  </si>
  <si>
    <t>Длительность отпуска</t>
  </si>
  <si>
    <t>Сумма отпускных</t>
  </si>
  <si>
    <t>м</t>
  </si>
  <si>
    <t>ж</t>
  </si>
  <si>
    <t>Иванов И. В.</t>
  </si>
  <si>
    <t>Вещий О. О.</t>
  </si>
  <si>
    <t>Смирнова А. Г.</t>
  </si>
  <si>
    <t>Васильев В. Н.</t>
  </si>
  <si>
    <t>Каренина А. А.</t>
  </si>
  <si>
    <t>Князев И. О.</t>
  </si>
  <si>
    <t>05-05-88</t>
  </si>
  <si>
    <t>08-09-10</t>
  </si>
  <si>
    <t>11-12-13</t>
  </si>
  <si>
    <t>14-10-06</t>
  </si>
  <si>
    <t>19-09-09</t>
  </si>
  <si>
    <t>07-07-77</t>
  </si>
  <si>
    <t>ИТОГО:</t>
  </si>
  <si>
    <t>Спартак</t>
  </si>
  <si>
    <t>ЦСКА</t>
  </si>
  <si>
    <t>Локомотив</t>
  </si>
  <si>
    <t>Ротор</t>
  </si>
  <si>
    <t>Зенит</t>
  </si>
  <si>
    <t>Ростсельмаш</t>
  </si>
  <si>
    <t>Уралан</t>
  </si>
  <si>
    <t>Алания</t>
  </si>
  <si>
    <t>Динамо</t>
  </si>
  <si>
    <t>Черноморец</t>
  </si>
  <si>
    <t>Торпедо</t>
  </si>
  <si>
    <t>Крылья Советов</t>
  </si>
  <si>
    <t>Жемчужина</t>
  </si>
  <si>
    <t>Шинник</t>
  </si>
  <si>
    <t>Балтика</t>
  </si>
  <si>
    <t>Тюмень</t>
  </si>
  <si>
    <t>Клуб</t>
  </si>
  <si>
    <t>Игр</t>
  </si>
  <si>
    <t>Выигрыш</t>
  </si>
  <si>
    <t>Ничья</t>
  </si>
  <si>
    <t>Поражение</t>
  </si>
  <si>
    <t>Забитые мячи</t>
  </si>
  <si>
    <t>Пропущенные мячи</t>
  </si>
  <si>
    <t>Место</t>
  </si>
  <si>
    <t>Разница</t>
  </si>
  <si>
    <t>Очки</t>
  </si>
  <si>
    <t>Таблица1</t>
  </si>
  <si>
    <t>Наименование товара</t>
  </si>
  <si>
    <t>Количество, шт</t>
  </si>
  <si>
    <t xml:space="preserve"> Итоговая цена</t>
  </si>
  <si>
    <t>Клавиатура Logitech</t>
  </si>
  <si>
    <t>Накопитель на ЖМД SATA</t>
  </si>
  <si>
    <t>Материнская плата ASRock</t>
  </si>
  <si>
    <t>Корпуc Minitower</t>
  </si>
  <si>
    <t>Модуль памяти Kingston</t>
  </si>
  <si>
    <t>Ноутбук Lenovo</t>
  </si>
  <si>
    <t>Мышь Logitech</t>
  </si>
  <si>
    <t>Мышь Microsoft</t>
  </si>
  <si>
    <t>Монитор Acer</t>
  </si>
  <si>
    <t>Принтер Canon</t>
  </si>
  <si>
    <t>Гарнитура Phillips</t>
  </si>
  <si>
    <t>Итого:</t>
  </si>
  <si>
    <t>Цена, $/шт</t>
  </si>
  <si>
    <t>Дискета Verbatim</t>
  </si>
  <si>
    <t>Принтер Acer</t>
  </si>
  <si>
    <t>Материнская плата Asus</t>
  </si>
  <si>
    <t>Дата начала турнира</t>
  </si>
  <si>
    <t>Номер турнира</t>
  </si>
  <si>
    <t>Дата</t>
  </si>
  <si>
    <t>Время</t>
  </si>
  <si>
    <t>Участник A</t>
  </si>
  <si>
    <t xml:space="preserve">Участник B </t>
  </si>
  <si>
    <t>Счет</t>
  </si>
  <si>
    <t>Команда 1</t>
  </si>
  <si>
    <t>Таблица 2</t>
  </si>
  <si>
    <t>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</si>
</sst>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\ _₽_-;\-* #,##0.00\ _₽_-;_-* &quot;-&quot;??\ _₽_-;_-@_-"/>
  </numFmts>
  <fonts count="1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8"/>
      <color rgb="FF202122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202122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0" fillId="0" borderId="0"/>
  </cellStyleXfs>
  <cellXfs count="62">
    <xf numFmtId="0" fontId="0" fillId="0" borderId="0" xfId="0"/>
    <xf numFmtId="0" fontId="3" fillId="0" borderId="0" xfId="0" applyFont="1"/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right"/>
    </xf>
    <xf numFmtId="0" fontId="0" fillId="0" borderId="1" xfId="0" applyBorder="1"/>
    <xf numFmtId="43" fontId="0" fillId="0" borderId="2" xfId="1" applyFont="1" applyBorder="1" applyAlignment="1">
      <alignment horizontal="right" indent="1"/>
    </xf>
    <xf numFmtId="43" fontId="0" fillId="0" borderId="3" xfId="1" applyFont="1" applyBorder="1" applyAlignment="1">
      <alignment horizontal="right" indent="1"/>
    </xf>
    <xf numFmtId="0" fontId="0" fillId="0" borderId="2" xfId="0" applyBorder="1"/>
    <xf numFmtId="0" fontId="0" fillId="0" borderId="3" xfId="0" applyBorder="1"/>
    <xf numFmtId="21" fontId="0" fillId="0" borderId="2" xfId="0" applyNumberFormat="1" applyBorder="1"/>
    <xf numFmtId="21" fontId="0" fillId="0" borderId="3" xfId="0" applyNumberFormat="1" applyBorder="1"/>
    <xf numFmtId="0" fontId="0" fillId="0" borderId="2" xfId="0" applyNumberFormat="1" applyBorder="1"/>
    <xf numFmtId="0" fontId="0" fillId="0" borderId="1" xfId="0" applyNumberForma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/>
    <xf numFmtId="49" fontId="0" fillId="0" borderId="9" xfId="0" applyNumberFormat="1" applyBorder="1"/>
    <xf numFmtId="0" fontId="0" fillId="0" borderId="9" xfId="0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0" fontId="0" fillId="0" borderId="10" xfId="0" applyBorder="1"/>
    <xf numFmtId="49" fontId="0" fillId="0" borderId="10" xfId="0" applyNumberFormat="1" applyBorder="1"/>
    <xf numFmtId="0" fontId="0" fillId="0" borderId="10" xfId="0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0" fillId="0" borderId="11" xfId="0" applyBorder="1"/>
    <xf numFmtId="49" fontId="0" fillId="0" borderId="11" xfId="0" applyNumberFormat="1" applyBorder="1"/>
    <xf numFmtId="0" fontId="0" fillId="0" borderId="11" xfId="0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0" fontId="0" fillId="0" borderId="8" xfId="0" applyFill="1" applyBorder="1"/>
    <xf numFmtId="0" fontId="0" fillId="0" borderId="13" xfId="0" applyFont="1" applyBorder="1"/>
    <xf numFmtId="0" fontId="9" fillId="2" borderId="13" xfId="0" applyFont="1" applyFill="1" applyBorder="1" applyAlignment="1">
      <alignment vertical="center" wrapText="1"/>
    </xf>
    <xf numFmtId="0" fontId="0" fillId="0" borderId="14" xfId="0" applyBorder="1"/>
    <xf numFmtId="0" fontId="8" fillId="2" borderId="15" xfId="2" applyFill="1" applyBorder="1" applyAlignment="1">
      <alignment horizontal="center" vertical="center" wrapText="1"/>
    </xf>
    <xf numFmtId="0" fontId="7" fillId="2" borderId="15" xfId="0" applyFont="1" applyFill="1" applyBorder="1" applyAlignment="1">
      <alignment horizontal="center" vertical="center" wrapText="1"/>
    </xf>
    <xf numFmtId="0" fontId="8" fillId="2" borderId="15" xfId="2" applyFill="1" applyBorder="1" applyAlignment="1">
      <alignment vertical="center" wrapText="1"/>
    </xf>
    <xf numFmtId="0" fontId="0" fillId="0" borderId="4" xfId="0" applyBorder="1"/>
    <xf numFmtId="0" fontId="5" fillId="0" borderId="5" xfId="0" applyFont="1" applyBorder="1"/>
    <xf numFmtId="0" fontId="0" fillId="0" borderId="4" xfId="0" applyBorder="1" applyAlignment="1">
      <alignment horizontal="right"/>
    </xf>
    <xf numFmtId="0" fontId="5" fillId="0" borderId="4" xfId="0" applyFont="1" applyBorder="1"/>
    <xf numFmtId="0" fontId="0" fillId="0" borderId="4" xfId="0" applyNumberFormat="1" applyBorder="1"/>
    <xf numFmtId="0" fontId="0" fillId="0" borderId="0" xfId="0" applyAlignment="1">
      <alignment horizontal="right" vertical="center" wrapText="1"/>
    </xf>
    <xf numFmtId="0" fontId="6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0" xfId="0" applyAlignment="1">
      <alignment horizontal="right" vertical="center" wrapText="1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20" fontId="0" fillId="0" borderId="4" xfId="0" applyNumberFormat="1" applyBorder="1"/>
    <xf numFmtId="14" fontId="0" fillId="0" borderId="4" xfId="0" applyNumberFormat="1" applyFont="1" applyBorder="1"/>
    <xf numFmtId="0" fontId="11" fillId="0" borderId="0" xfId="0" applyFont="1"/>
    <xf numFmtId="14" fontId="0" fillId="0" borderId="0" xfId="0" applyNumberFormat="1" applyFont="1"/>
    <xf numFmtId="0" fontId="0" fillId="0" borderId="13" xfId="0" applyBorder="1"/>
    <xf numFmtId="0" fontId="0" fillId="0" borderId="0" xfId="0" applyAlignment="1">
      <alignment horizontal="right"/>
    </xf>
    <xf numFmtId="0" fontId="5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</cellXfs>
  <cellStyles count="4">
    <cellStyle name="Гиперссылка" xfId="2" builtinId="8"/>
    <cellStyle name="Обычный" xfId="0" builtinId="0"/>
    <cellStyle name="Обычный 2" xfId="3"/>
    <cellStyle name="Финансовый" xfId="1" builtinId="3"/>
  </cellStyles>
  <dxfs count="4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 val="0"/>
        <i/>
        <strike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Длительность</a:t>
            </a:r>
            <a:r>
              <a:rPr lang="ru-RU" baseline="0"/>
              <a:t> отпуска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'Расчет отпускных'!$B$11</c:f>
              <c:strCache>
                <c:ptCount val="1"/>
                <c:pt idx="0">
                  <c:v>Иванов И. В.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'Расчет отпускных'!$J$11</c:f>
              <c:numCache>
                <c:formatCode>General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56-4773-B603-DE9DA565B869}"/>
            </c:ext>
          </c:extLst>
        </c:ser>
        <c:ser>
          <c:idx val="1"/>
          <c:order val="1"/>
          <c:tx>
            <c:strRef>
              <c:f>'Расчет отпускных'!$B$12</c:f>
              <c:strCache>
                <c:ptCount val="1"/>
                <c:pt idx="0">
                  <c:v>Вещий О. О.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'Расчет отпускных'!$J$12</c:f>
              <c:numCache>
                <c:formatCode>General</c:formatCode>
                <c:ptCount val="1"/>
                <c:pt idx="0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56-4773-B603-DE9DA565B869}"/>
            </c:ext>
          </c:extLst>
        </c:ser>
        <c:ser>
          <c:idx val="2"/>
          <c:order val="2"/>
          <c:tx>
            <c:strRef>
              <c:f>'Расчет отпускных'!$B$13</c:f>
              <c:strCache>
                <c:ptCount val="1"/>
                <c:pt idx="0">
                  <c:v>Смирнова А. Г.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'Расчет отпускных'!$J$13</c:f>
              <c:numCache>
                <c:formatCode>General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6-4773-B603-DE9DA565B869}"/>
            </c:ext>
          </c:extLst>
        </c:ser>
        <c:ser>
          <c:idx val="3"/>
          <c:order val="3"/>
          <c:tx>
            <c:strRef>
              <c:f>'Расчет отпускных'!$B$14</c:f>
              <c:strCache>
                <c:ptCount val="1"/>
                <c:pt idx="0">
                  <c:v>Васильев В. Н.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'Расчет отпускных'!$J$14</c:f>
              <c:numCache>
                <c:formatCode>General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6-4773-B603-DE9DA565B869}"/>
            </c:ext>
          </c:extLst>
        </c:ser>
        <c:ser>
          <c:idx val="4"/>
          <c:order val="4"/>
          <c:tx>
            <c:strRef>
              <c:f>'Расчет отпускных'!$B$15</c:f>
              <c:strCache>
                <c:ptCount val="1"/>
                <c:pt idx="0">
                  <c:v>Каренина А. А.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'Расчет отпускных'!$J$15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6-4773-B603-DE9DA565B869}"/>
            </c:ext>
          </c:extLst>
        </c:ser>
        <c:ser>
          <c:idx val="5"/>
          <c:order val="5"/>
          <c:tx>
            <c:strRef>
              <c:f>'Расчет отпускных'!$B$16</c:f>
              <c:strCache>
                <c:ptCount val="1"/>
                <c:pt idx="0">
                  <c:v>Князев И. О.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'Расчет отпускных'!$J$16</c:f>
              <c:numCache>
                <c:formatCode>General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6-4773-B603-DE9DA565B86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3533263"/>
        <c:axId val="150240591"/>
      </c:barChart>
      <c:catAx>
        <c:axId val="21135332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240591"/>
        <c:crosses val="autoZero"/>
        <c:auto val="1"/>
        <c:lblAlgn val="ctr"/>
        <c:lblOffset val="100"/>
        <c:noMultiLvlLbl val="0"/>
      </c:catAx>
      <c:valAx>
        <c:axId val="15024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3533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'Расчет отпускных'!$B$11:$B$16</c:f>
              <c:strCache>
                <c:ptCount val="6"/>
                <c:pt idx="0">
                  <c:v>Иванов И. В.</c:v>
                </c:pt>
                <c:pt idx="1">
                  <c:v>Вещий О. О.</c:v>
                </c:pt>
                <c:pt idx="2">
                  <c:v>Смирнова А. Г.</c:v>
                </c:pt>
                <c:pt idx="3">
                  <c:v>Васильев В. Н.</c:v>
                </c:pt>
                <c:pt idx="4">
                  <c:v>Каренина А. А.</c:v>
                </c:pt>
                <c:pt idx="5">
                  <c:v>Князев И. О.</c:v>
                </c:pt>
              </c:strCache>
            </c:strRef>
          </c:cat>
          <c:val>
            <c:numRef>
              <c:f>'Расчет отпускных'!$J$11:$J$16</c:f>
              <c:numCache>
                <c:formatCode>General</c:formatCode>
                <c:ptCount val="6"/>
                <c:pt idx="0">
                  <c:v>33</c:v>
                </c:pt>
                <c:pt idx="1">
                  <c:v>27</c:v>
                </c:pt>
                <c:pt idx="2">
                  <c:v>44</c:v>
                </c:pt>
                <c:pt idx="3">
                  <c:v>33</c:v>
                </c:pt>
                <c:pt idx="4">
                  <c:v>31</c:v>
                </c:pt>
                <c:pt idx="5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80-48E9-8ED3-120FC4598BB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837749504"/>
        <c:axId val="1837751168"/>
      </c:barChart>
      <c:catAx>
        <c:axId val="183774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7751168"/>
        <c:crosses val="autoZero"/>
        <c:auto val="1"/>
        <c:lblAlgn val="ctr"/>
        <c:lblOffset val="100"/>
        <c:noMultiLvlLbl val="0"/>
      </c:catAx>
      <c:valAx>
        <c:axId val="183775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774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8891</xdr:colOff>
      <xdr:row>1</xdr:row>
      <xdr:rowOff>142240</xdr:rowOff>
    </xdr:from>
    <xdr:to>
      <xdr:col>19</xdr:col>
      <xdr:colOff>312844</xdr:colOff>
      <xdr:row>14</xdr:row>
      <xdr:rowOff>50800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50800</xdr:colOff>
      <xdr:row>12</xdr:row>
      <xdr:rowOff>127000</xdr:rowOff>
    </xdr:from>
    <xdr:to>
      <xdr:col>18</xdr:col>
      <xdr:colOff>355600</xdr:colOff>
      <xdr:row>27</xdr:row>
      <xdr:rowOff>50800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14"/>
  <sheetViews>
    <sheetView workbookViewId="0">
      <selection activeCell="D14" sqref="D14"/>
    </sheetView>
  </sheetViews>
  <sheetFormatPr defaultRowHeight="14.4" x14ac:dyDescent="0.3"/>
  <cols>
    <col min="1" max="1" width="10.5546875" customWidth="1"/>
    <col min="2" max="2" width="15.44140625" customWidth="1"/>
    <col min="3" max="3" width="17.77734375" customWidth="1"/>
    <col min="4" max="4" width="17.44140625" customWidth="1"/>
    <col min="5" max="5" width="15.88671875" customWidth="1"/>
  </cols>
  <sheetData>
    <row r="1" spans="1:5" ht="15" thickBot="1" x14ac:dyDescent="0.35"/>
    <row r="2" spans="1:5" ht="15" thickBot="1" x14ac:dyDescent="0.35">
      <c r="A2" s="44" t="s">
        <v>0</v>
      </c>
      <c r="B2" s="44"/>
      <c r="C2" s="3">
        <v>20</v>
      </c>
      <c r="D2" s="1" t="s">
        <v>1</v>
      </c>
    </row>
    <row r="3" spans="1:5" ht="15" thickBot="1" x14ac:dyDescent="0.35">
      <c r="B3" s="1" t="s">
        <v>3</v>
      </c>
      <c r="C3" s="4">
        <v>1</v>
      </c>
      <c r="D3" s="1" t="s">
        <v>1</v>
      </c>
    </row>
    <row r="5" spans="1:5" ht="21" x14ac:dyDescent="0.4">
      <c r="A5" s="45" t="s">
        <v>2</v>
      </c>
      <c r="B5" s="46"/>
      <c r="C5" s="46"/>
      <c r="D5" s="46"/>
      <c r="E5" s="46"/>
    </row>
    <row r="6" spans="1:5" ht="15" thickBot="1" x14ac:dyDescent="0.35"/>
    <row r="7" spans="1:5" ht="20.399999999999999" customHeight="1" thickBot="1" x14ac:dyDescent="0.35">
      <c r="A7" s="2" t="s">
        <v>4</v>
      </c>
      <c r="B7" s="2" t="s">
        <v>5</v>
      </c>
      <c r="C7" s="2" t="s">
        <v>6</v>
      </c>
      <c r="D7" s="2" t="s">
        <v>7</v>
      </c>
      <c r="E7" s="2" t="s">
        <v>8</v>
      </c>
    </row>
    <row r="8" spans="1:5" ht="15" thickBot="1" x14ac:dyDescent="0.35">
      <c r="A8" s="7" t="s">
        <v>9</v>
      </c>
      <c r="B8" s="5">
        <v>2.8</v>
      </c>
      <c r="C8" s="9">
        <v>0.60416666666666663</v>
      </c>
      <c r="D8" s="11">
        <f t="shared" ref="D8:D13" si="0">HOUR(C8)*60+MINUTE(C8)</f>
        <v>870</v>
      </c>
      <c r="E8" s="7">
        <f>IF(D8&gt;$C$2,B8*D8,B8*$C$2)</f>
        <v>2436</v>
      </c>
    </row>
    <row r="9" spans="1:5" ht="15" thickBot="1" x14ac:dyDescent="0.35">
      <c r="A9" s="8" t="s">
        <v>10</v>
      </c>
      <c r="B9" s="6">
        <v>4</v>
      </c>
      <c r="C9" s="10">
        <v>4.8611111111111112E-2</v>
      </c>
      <c r="D9" s="11">
        <f t="shared" si="0"/>
        <v>70</v>
      </c>
      <c r="E9" s="7">
        <f>IF(D9&gt;$C$2,B9*D9,B9*$C$2)</f>
        <v>280</v>
      </c>
    </row>
    <row r="10" spans="1:5" ht="15" thickBot="1" x14ac:dyDescent="0.35">
      <c r="A10" s="8" t="s">
        <v>14</v>
      </c>
      <c r="B10" s="6">
        <v>2.8</v>
      </c>
      <c r="C10" s="10">
        <v>1.0416666666666666E-2</v>
      </c>
      <c r="D10" s="11">
        <f t="shared" si="0"/>
        <v>15</v>
      </c>
      <c r="E10" s="7">
        <f t="shared" ref="E10:E12" si="1">IF(D10&gt;$C$2,B10*D10,B10*$C$2)</f>
        <v>56</v>
      </c>
    </row>
    <row r="11" spans="1:5" ht="15" thickBot="1" x14ac:dyDescent="0.35">
      <c r="A11" s="8" t="s">
        <v>11</v>
      </c>
      <c r="B11" s="6">
        <v>4.5</v>
      </c>
      <c r="C11" s="10">
        <v>1.3888888888888888E-2</v>
      </c>
      <c r="D11" s="11">
        <f t="shared" si="0"/>
        <v>20</v>
      </c>
      <c r="E11" s="7">
        <f t="shared" si="1"/>
        <v>90</v>
      </c>
    </row>
    <row r="12" spans="1:5" ht="15" thickBot="1" x14ac:dyDescent="0.35">
      <c r="A12" s="8" t="s">
        <v>12</v>
      </c>
      <c r="B12" s="6">
        <v>2.8</v>
      </c>
      <c r="C12" s="10">
        <v>2.2916666666666669E-2</v>
      </c>
      <c r="D12" s="11">
        <f t="shared" si="0"/>
        <v>33</v>
      </c>
      <c r="E12" s="7">
        <f t="shared" si="1"/>
        <v>92.399999999999991</v>
      </c>
    </row>
    <row r="13" spans="1:5" ht="15" thickBot="1" x14ac:dyDescent="0.35">
      <c r="A13" s="8" t="s">
        <v>13</v>
      </c>
      <c r="B13" s="6">
        <v>5</v>
      </c>
      <c r="C13" s="10">
        <v>5.5555555555555558E-3</v>
      </c>
      <c r="D13" s="11">
        <f t="shared" si="0"/>
        <v>8</v>
      </c>
      <c r="E13" s="7">
        <f t="shared" ref="E9:E13" si="2">IF(D13&gt;20,B13*D13,B13*$C$2)</f>
        <v>100</v>
      </c>
    </row>
    <row r="14" spans="1:5" ht="15" thickBot="1" x14ac:dyDescent="0.35">
      <c r="A14" s="47" t="s">
        <v>15</v>
      </c>
      <c r="B14" s="47"/>
      <c r="C14" s="47"/>
      <c r="D14" s="12">
        <f>SUM(D8:D13)</f>
        <v>1016</v>
      </c>
      <c r="E14" s="12">
        <f>SUM(E8:E13)</f>
        <v>3054.4</v>
      </c>
    </row>
  </sheetData>
  <mergeCells count="3">
    <mergeCell ref="A2:B2"/>
    <mergeCell ref="A5:E5"/>
    <mergeCell ref="A14:C14"/>
  </mergeCells>
  <pageMargins left="0.7" right="0.7" top="0.75" bottom="0.75" header="0.3" footer="0.3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/>
  <dimension ref="A1:E6"/>
  <sheetViews>
    <sheetView workbookViewId="0">
      <selection activeCell="E3" sqref="E3"/>
    </sheetView>
  </sheetViews>
  <sheetFormatPr defaultRowHeight="14.4" x14ac:dyDescent="0.3"/>
  <cols>
    <col min="4" max="4" width="10.109375" customWidth="1"/>
  </cols>
  <sheetData>
    <row r="1" spans="1:5" x14ac:dyDescent="0.3">
      <c r="A1" t="s">
        <v>16</v>
      </c>
      <c r="B1" s="1" t="s">
        <v>17</v>
      </c>
    </row>
    <row r="3" spans="1:5" x14ac:dyDescent="0.3">
      <c r="A3" s="58"/>
      <c r="B3" s="61" t="s">
        <v>18</v>
      </c>
      <c r="C3" s="61"/>
      <c r="D3" s="61"/>
      <c r="E3" s="13">
        <v>24</v>
      </c>
    </row>
    <row r="4" spans="1:5" x14ac:dyDescent="0.3">
      <c r="A4" s="49" t="s">
        <v>19</v>
      </c>
      <c r="B4" s="49"/>
      <c r="C4" s="49"/>
      <c r="D4" s="49"/>
      <c r="E4" s="14">
        <v>2</v>
      </c>
    </row>
    <row r="5" spans="1:5" x14ac:dyDescent="0.3">
      <c r="A5" s="61" t="s">
        <v>20</v>
      </c>
      <c r="B5" s="61"/>
      <c r="C5" s="61"/>
      <c r="D5" s="61"/>
      <c r="E5" s="14">
        <v>3</v>
      </c>
    </row>
    <row r="6" spans="1:5" x14ac:dyDescent="0.3">
      <c r="A6" s="61" t="s">
        <v>21</v>
      </c>
      <c r="B6" s="61"/>
      <c r="C6" s="61"/>
      <c r="D6" s="61"/>
      <c r="E6" s="15">
        <v>9</v>
      </c>
    </row>
  </sheetData>
  <mergeCells count="4">
    <mergeCell ref="B3:D3"/>
    <mergeCell ref="A4:D4"/>
    <mergeCell ref="A5:D5"/>
    <mergeCell ref="A6:D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K18"/>
  <sheetViews>
    <sheetView zoomScale="90" zoomScaleNormal="90" workbookViewId="0">
      <selection activeCell="V16" sqref="V16"/>
    </sheetView>
  </sheetViews>
  <sheetFormatPr defaultRowHeight="14.4" x14ac:dyDescent="0.3"/>
  <cols>
    <col min="2" max="2" width="22.21875" customWidth="1"/>
    <col min="3" max="3" width="11.88671875" customWidth="1"/>
    <col min="4" max="4" width="5.33203125" customWidth="1"/>
    <col min="7" max="7" width="10.44140625" customWidth="1"/>
    <col min="8" max="8" width="9.44140625" customWidth="1"/>
    <col min="9" max="9" width="9.88671875" customWidth="1"/>
    <col min="10" max="10" width="12.88671875" customWidth="1"/>
    <col min="11" max="11" width="9.88671875" customWidth="1"/>
  </cols>
  <sheetData>
    <row r="1" spans="1:11" x14ac:dyDescent="0.3">
      <c r="A1" t="s">
        <v>22</v>
      </c>
      <c r="B1" s="60" t="s">
        <v>23</v>
      </c>
    </row>
    <row r="2" spans="1:11" x14ac:dyDescent="0.3">
      <c r="B2" s="59"/>
    </row>
    <row r="3" spans="1:11" ht="15" customHeight="1" x14ac:dyDescent="0.3">
      <c r="A3" t="s">
        <v>25</v>
      </c>
      <c r="B3" s="42" t="s">
        <v>24</v>
      </c>
    </row>
    <row r="4" spans="1:11" ht="15.6" customHeight="1" x14ac:dyDescent="0.3">
      <c r="A4" t="s">
        <v>26</v>
      </c>
      <c r="B4">
        <v>2017</v>
      </c>
    </row>
    <row r="8" spans="1:11" ht="23.4" x14ac:dyDescent="0.45">
      <c r="A8" s="43" t="s">
        <v>27</v>
      </c>
      <c r="B8" s="43"/>
      <c r="C8" s="43"/>
      <c r="D8" s="43"/>
      <c r="E8" s="43"/>
      <c r="F8" s="43"/>
      <c r="G8" s="43"/>
      <c r="H8" s="43"/>
      <c r="I8" s="43"/>
      <c r="J8" s="43"/>
      <c r="K8" s="43"/>
    </row>
    <row r="9" spans="1:11" ht="15" thickBot="1" x14ac:dyDescent="0.35"/>
    <row r="10" spans="1:11" ht="44.4" thickTop="1" thickBot="1" x14ac:dyDescent="0.35">
      <c r="A10" s="16" t="s">
        <v>28</v>
      </c>
      <c r="B10" s="16" t="s">
        <v>29</v>
      </c>
      <c r="C10" s="17" t="s">
        <v>30</v>
      </c>
      <c r="D10" s="16" t="s">
        <v>31</v>
      </c>
      <c r="E10" s="16" t="s">
        <v>32</v>
      </c>
      <c r="F10" s="16" t="s">
        <v>33</v>
      </c>
      <c r="G10" s="17" t="s">
        <v>34</v>
      </c>
      <c r="H10" s="17" t="s">
        <v>35</v>
      </c>
      <c r="I10" s="17" t="s">
        <v>36</v>
      </c>
      <c r="J10" s="17" t="s">
        <v>37</v>
      </c>
      <c r="K10" s="17" t="s">
        <v>38</v>
      </c>
    </row>
    <row r="11" spans="1:11" ht="15" thickTop="1" x14ac:dyDescent="0.3">
      <c r="A11" s="18">
        <v>1</v>
      </c>
      <c r="B11" s="18" t="s">
        <v>41</v>
      </c>
      <c r="C11" s="19" t="s">
        <v>47</v>
      </c>
      <c r="D11" s="20" t="s">
        <v>39</v>
      </c>
      <c r="E11" s="20">
        <v>0</v>
      </c>
      <c r="F11" s="21">
        <f>$B$4 - YEAR(C11)</f>
        <v>29</v>
      </c>
      <c r="G11" s="18">
        <v>4000</v>
      </c>
      <c r="H11" s="18">
        <f>IF(F11&gt;10,Справочник!$E$6,IF(F11&gt;5,Справочник!$E$5,0))</f>
        <v>9</v>
      </c>
      <c r="I11" s="18">
        <f>IF(D11="ж",Справочник!$E$4*E11,0)</f>
        <v>0</v>
      </c>
      <c r="J11" s="18">
        <f>Справочник!$E$3+H11+I11</f>
        <v>33</v>
      </c>
      <c r="K11" s="18">
        <f t="shared" ref="K11:K16" si="0">G11/30*J11</f>
        <v>4400</v>
      </c>
    </row>
    <row r="12" spans="1:11" x14ac:dyDescent="0.3">
      <c r="A12" s="22">
        <v>2</v>
      </c>
      <c r="B12" s="22" t="s">
        <v>42</v>
      </c>
      <c r="C12" s="23" t="s">
        <v>48</v>
      </c>
      <c r="D12" s="24" t="s">
        <v>39</v>
      </c>
      <c r="E12" s="24">
        <v>1</v>
      </c>
      <c r="F12" s="25">
        <f>$B$4 - YEAR(C12)</f>
        <v>7</v>
      </c>
      <c r="G12" s="22">
        <v>8008</v>
      </c>
      <c r="H12" s="22">
        <f>IF(F12&gt;10,Справочник!$E$6,IF(F12&gt;5,Справочник!$E$5,0))</f>
        <v>3</v>
      </c>
      <c r="I12" s="22">
        <f>IF(D12="ж",Справочник!$E$4*E12,0)</f>
        <v>0</v>
      </c>
      <c r="J12" s="22">
        <f>Справочник!$E$3+H12+I12</f>
        <v>27</v>
      </c>
      <c r="K12" s="22">
        <f t="shared" si="0"/>
        <v>7207.2</v>
      </c>
    </row>
    <row r="13" spans="1:11" x14ac:dyDescent="0.3">
      <c r="A13" s="22">
        <v>3</v>
      </c>
      <c r="B13" s="22" t="s">
        <v>43</v>
      </c>
      <c r="C13" s="23" t="s">
        <v>49</v>
      </c>
      <c r="D13" s="24" t="s">
        <v>40</v>
      </c>
      <c r="E13" s="24">
        <v>10</v>
      </c>
      <c r="F13" s="25">
        <f>$B$4 - YEAR(C13)</f>
        <v>4</v>
      </c>
      <c r="G13" s="22">
        <v>3050</v>
      </c>
      <c r="H13" s="22">
        <f>IF(F13&gt;10,Справочник!$E$6,IF(F13&gt;5,Справочник!$E$5,0))</f>
        <v>0</v>
      </c>
      <c r="I13" s="22">
        <f>IF(D13="ж",Справочник!$E$4*E13,0)</f>
        <v>20</v>
      </c>
      <c r="J13" s="22">
        <f>Справочник!$E$3+H13+I13</f>
        <v>44</v>
      </c>
      <c r="K13" s="22">
        <f t="shared" si="0"/>
        <v>4473.3333333333339</v>
      </c>
    </row>
    <row r="14" spans="1:11" x14ac:dyDescent="0.3">
      <c r="A14" s="22">
        <v>4</v>
      </c>
      <c r="B14" s="22" t="s">
        <v>44</v>
      </c>
      <c r="C14" s="23" t="s">
        <v>50</v>
      </c>
      <c r="D14" s="24" t="s">
        <v>39</v>
      </c>
      <c r="E14" s="24">
        <v>2</v>
      </c>
      <c r="F14" s="25">
        <f>$B$4 - YEAR(C14)</f>
        <v>11</v>
      </c>
      <c r="G14" s="22">
        <v>5678</v>
      </c>
      <c r="H14" s="22">
        <f>IF(F14&gt;10,Справочник!$E$6,IF(F14&gt;5,Справочник!$E$5,0))</f>
        <v>9</v>
      </c>
      <c r="I14" s="22">
        <f>IF(D14="ж",Справочник!$E$4*E14,0)</f>
        <v>0</v>
      </c>
      <c r="J14" s="22">
        <f>Справочник!$E$3+H14+I14</f>
        <v>33</v>
      </c>
      <c r="K14" s="22">
        <f t="shared" si="0"/>
        <v>6245.8</v>
      </c>
    </row>
    <row r="15" spans="1:11" x14ac:dyDescent="0.3">
      <c r="A15" s="22">
        <v>5</v>
      </c>
      <c r="B15" s="22" t="s">
        <v>45</v>
      </c>
      <c r="C15" s="23" t="s">
        <v>51</v>
      </c>
      <c r="D15" s="24" t="s">
        <v>40</v>
      </c>
      <c r="E15" s="24">
        <v>2</v>
      </c>
      <c r="F15" s="25">
        <f>$B$4 - YEAR(C15)</f>
        <v>8</v>
      </c>
      <c r="G15" s="22">
        <v>6745</v>
      </c>
      <c r="H15" s="22">
        <f>IF(F15&gt;10,Справочник!$E$6,IF(F15&gt;5,Справочник!$E$5,0))</f>
        <v>3</v>
      </c>
      <c r="I15" s="22">
        <f>IF(D15="ж",Справочник!$E$4*E15,0)</f>
        <v>4</v>
      </c>
      <c r="J15" s="22">
        <f>Справочник!$E$3+H15+I15</f>
        <v>31</v>
      </c>
      <c r="K15" s="22">
        <f t="shared" si="0"/>
        <v>6969.8333333333339</v>
      </c>
    </row>
    <row r="16" spans="1:11" ht="15" thickBot="1" x14ac:dyDescent="0.35">
      <c r="A16" s="26">
        <v>6</v>
      </c>
      <c r="B16" s="26" t="s">
        <v>46</v>
      </c>
      <c r="C16" s="27" t="s">
        <v>52</v>
      </c>
      <c r="D16" s="28" t="s">
        <v>39</v>
      </c>
      <c r="E16" s="28">
        <v>7</v>
      </c>
      <c r="F16" s="29">
        <f>$B$4 - YEAR(C16)</f>
        <v>40</v>
      </c>
      <c r="G16" s="26">
        <v>7777</v>
      </c>
      <c r="H16" s="26">
        <f>IF(F16&gt;10,Справочник!$E$6,IF(F16&gt;5,Справочник!$E$5,0))</f>
        <v>9</v>
      </c>
      <c r="I16" s="26">
        <f>IF(D16="ж",Справочник!$E$4*E16,0)</f>
        <v>0</v>
      </c>
      <c r="J16" s="26">
        <f>Справочник!$E$3+H16+I16</f>
        <v>33</v>
      </c>
      <c r="K16" s="26">
        <f t="shared" si="0"/>
        <v>8554.7000000000007</v>
      </c>
    </row>
    <row r="17" spans="1:11" ht="15.6" thickTop="1" thickBot="1" x14ac:dyDescent="0.35">
      <c r="A17" s="48" t="s">
        <v>53</v>
      </c>
      <c r="B17" s="48"/>
      <c r="C17" s="48"/>
      <c r="D17" s="48"/>
      <c r="E17" s="48"/>
      <c r="F17" s="48"/>
      <c r="G17" s="48"/>
      <c r="H17" s="48"/>
      <c r="I17" s="48"/>
      <c r="J17" s="48"/>
      <c r="K17" s="30">
        <f>SUM(K11:K16)</f>
        <v>37850.866666666669</v>
      </c>
    </row>
    <row r="18" spans="1:11" ht="15" thickTop="1" x14ac:dyDescent="0.3"/>
  </sheetData>
  <mergeCells count="1">
    <mergeCell ref="A17:J17"/>
  </mergeCell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K18"/>
  <sheetViews>
    <sheetView workbookViewId="0">
      <selection activeCell="G10" sqref="G10"/>
    </sheetView>
  </sheetViews>
  <sheetFormatPr defaultRowHeight="14.4" x14ac:dyDescent="0.3"/>
  <cols>
    <col min="2" max="2" width="16.109375" customWidth="1"/>
    <col min="4" max="4" width="11.44140625" customWidth="1"/>
    <col min="6" max="6" width="11.88671875" customWidth="1"/>
    <col min="7" max="7" width="13.77734375" customWidth="1"/>
    <col min="8" max="8" width="17.77734375" customWidth="1"/>
    <col min="10" max="10" width="5.5546875" customWidth="1"/>
    <col min="11" max="11" width="49.5546875" customWidth="1"/>
  </cols>
  <sheetData>
    <row r="1" spans="1:11" ht="15" customHeight="1" thickBot="1" x14ac:dyDescent="0.35">
      <c r="A1" s="37" t="s">
        <v>77</v>
      </c>
      <c r="B1" s="13" t="s">
        <v>70</v>
      </c>
      <c r="C1" s="37" t="s">
        <v>71</v>
      </c>
      <c r="D1" s="37" t="s">
        <v>72</v>
      </c>
      <c r="E1" s="37" t="s">
        <v>73</v>
      </c>
      <c r="F1" s="37" t="s">
        <v>74</v>
      </c>
      <c r="G1" s="37" t="s">
        <v>75</v>
      </c>
      <c r="H1" s="37" t="s">
        <v>76</v>
      </c>
      <c r="I1" s="37" t="s">
        <v>78</v>
      </c>
      <c r="J1" s="37" t="s">
        <v>79</v>
      </c>
      <c r="K1" s="33"/>
    </row>
    <row r="2" spans="1:11" ht="15" customHeight="1" thickBot="1" x14ac:dyDescent="0.35">
      <c r="A2" s="32">
        <v>1</v>
      </c>
      <c r="B2" s="57" t="s">
        <v>54</v>
      </c>
      <c r="C2" s="32">
        <v>30</v>
      </c>
      <c r="D2" s="32">
        <v>17</v>
      </c>
      <c r="E2" s="32">
        <v>8</v>
      </c>
      <c r="F2" s="32">
        <v>5</v>
      </c>
      <c r="G2" s="32">
        <v>58</v>
      </c>
      <c r="H2" s="31">
        <v>28</v>
      </c>
      <c r="I2" s="37">
        <f>G2-H2</f>
        <v>30</v>
      </c>
      <c r="J2" s="37">
        <f>D2*3+E2*1</f>
        <v>59</v>
      </c>
      <c r="K2" s="34"/>
    </row>
    <row r="3" spans="1:11" ht="15" customHeight="1" thickBot="1" x14ac:dyDescent="0.35">
      <c r="A3" s="32">
        <v>2</v>
      </c>
      <c r="B3" s="57" t="s">
        <v>55</v>
      </c>
      <c r="C3" s="32">
        <v>30</v>
      </c>
      <c r="D3" s="32">
        <v>17</v>
      </c>
      <c r="E3" s="32">
        <v>5</v>
      </c>
      <c r="F3" s="32">
        <v>8</v>
      </c>
      <c r="G3" s="32">
        <v>50</v>
      </c>
      <c r="H3" s="31">
        <v>22</v>
      </c>
      <c r="I3" s="37">
        <f t="shared" ref="I3:I17" si="0">G3-H3</f>
        <v>28</v>
      </c>
      <c r="J3" s="37">
        <f t="shared" ref="J3:J17" si="1">D3*3+E3*1</f>
        <v>56</v>
      </c>
      <c r="K3" s="34"/>
    </row>
    <row r="4" spans="1:11" ht="15" customHeight="1" thickBot="1" x14ac:dyDescent="0.35">
      <c r="A4" s="32">
        <v>3</v>
      </c>
      <c r="B4" s="57" t="s">
        <v>56</v>
      </c>
      <c r="C4" s="32">
        <v>30</v>
      </c>
      <c r="D4" s="32">
        <v>16</v>
      </c>
      <c r="E4" s="32">
        <v>7</v>
      </c>
      <c r="F4" s="32">
        <v>7</v>
      </c>
      <c r="G4" s="32">
        <v>45</v>
      </c>
      <c r="H4" s="31">
        <v>28</v>
      </c>
      <c r="I4" s="37">
        <f t="shared" si="0"/>
        <v>17</v>
      </c>
      <c r="J4" s="37">
        <f t="shared" si="1"/>
        <v>55</v>
      </c>
      <c r="K4" s="34"/>
    </row>
    <row r="5" spans="1:11" ht="15" customHeight="1" thickBot="1" x14ac:dyDescent="0.35">
      <c r="A5" s="32">
        <v>4</v>
      </c>
      <c r="B5" s="57" t="s">
        <v>57</v>
      </c>
      <c r="C5" s="32">
        <v>30</v>
      </c>
      <c r="D5" s="32">
        <v>12</v>
      </c>
      <c r="E5" s="32">
        <v>12</v>
      </c>
      <c r="F5" s="32">
        <v>6</v>
      </c>
      <c r="G5" s="32">
        <v>52</v>
      </c>
      <c r="H5" s="31">
        <v>37</v>
      </c>
      <c r="I5" s="37">
        <f t="shared" si="0"/>
        <v>15</v>
      </c>
      <c r="J5" s="37">
        <f t="shared" si="1"/>
        <v>48</v>
      </c>
      <c r="K5" s="35"/>
    </row>
    <row r="6" spans="1:11" ht="15" customHeight="1" thickBot="1" x14ac:dyDescent="0.35">
      <c r="A6" s="32">
        <v>5</v>
      </c>
      <c r="B6" s="57" t="s">
        <v>58</v>
      </c>
      <c r="C6" s="32">
        <v>30</v>
      </c>
      <c r="D6" s="32">
        <v>12</v>
      </c>
      <c r="E6" s="32">
        <v>11</v>
      </c>
      <c r="F6" s="32">
        <v>7</v>
      </c>
      <c r="G6" s="32">
        <v>42</v>
      </c>
      <c r="H6" s="31">
        <v>25</v>
      </c>
      <c r="I6" s="37">
        <f t="shared" si="0"/>
        <v>17</v>
      </c>
      <c r="J6" s="37">
        <f t="shared" si="1"/>
        <v>47</v>
      </c>
      <c r="K6" s="34"/>
    </row>
    <row r="7" spans="1:11" ht="15" customHeight="1" thickBot="1" x14ac:dyDescent="0.35">
      <c r="A7" s="32">
        <v>6</v>
      </c>
      <c r="B7" s="57" t="s">
        <v>59</v>
      </c>
      <c r="C7" s="32">
        <v>30</v>
      </c>
      <c r="D7" s="32">
        <v>11</v>
      </c>
      <c r="E7" s="32">
        <v>11</v>
      </c>
      <c r="F7" s="32">
        <v>8</v>
      </c>
      <c r="G7" s="32">
        <v>42</v>
      </c>
      <c r="H7" s="31">
        <v>38</v>
      </c>
      <c r="I7" s="37">
        <f t="shared" si="0"/>
        <v>4</v>
      </c>
      <c r="J7" s="37">
        <f t="shared" si="1"/>
        <v>44</v>
      </c>
      <c r="K7" s="34"/>
    </row>
    <row r="8" spans="1:11" ht="15" thickBot="1" x14ac:dyDescent="0.35">
      <c r="A8" s="32">
        <v>7</v>
      </c>
      <c r="B8" s="57" t="s">
        <v>60</v>
      </c>
      <c r="C8" s="32">
        <v>30</v>
      </c>
      <c r="D8" s="32">
        <v>12</v>
      </c>
      <c r="E8" s="32">
        <v>6</v>
      </c>
      <c r="F8" s="32">
        <v>12</v>
      </c>
      <c r="G8" s="32">
        <v>39</v>
      </c>
      <c r="H8" s="31">
        <v>41</v>
      </c>
      <c r="I8" s="37">
        <f t="shared" si="0"/>
        <v>-2</v>
      </c>
      <c r="J8" s="37">
        <f t="shared" si="1"/>
        <v>42</v>
      </c>
      <c r="K8" s="35"/>
    </row>
    <row r="9" spans="1:11" ht="15" thickBot="1" x14ac:dyDescent="0.35">
      <c r="A9" s="32">
        <v>8</v>
      </c>
      <c r="B9" s="57" t="s">
        <v>61</v>
      </c>
      <c r="C9" s="32">
        <v>30</v>
      </c>
      <c r="D9" s="32">
        <v>11</v>
      </c>
      <c r="E9" s="32">
        <v>7</v>
      </c>
      <c r="F9" s="32">
        <v>12</v>
      </c>
      <c r="G9" s="32">
        <v>100</v>
      </c>
      <c r="H9" s="31">
        <v>39</v>
      </c>
      <c r="I9" s="37">
        <f t="shared" si="0"/>
        <v>61</v>
      </c>
      <c r="J9" s="37">
        <f t="shared" si="1"/>
        <v>40</v>
      </c>
      <c r="K9" s="35"/>
    </row>
    <row r="10" spans="1:11" ht="14.4" customHeight="1" thickBot="1" x14ac:dyDescent="0.35">
      <c r="A10" s="32">
        <v>9</v>
      </c>
      <c r="B10" s="57" t="s">
        <v>62</v>
      </c>
      <c r="C10" s="32">
        <v>30</v>
      </c>
      <c r="D10" s="32">
        <v>8</v>
      </c>
      <c r="E10" s="32">
        <v>15</v>
      </c>
      <c r="F10" s="32">
        <v>7</v>
      </c>
      <c r="G10" s="32">
        <v>31</v>
      </c>
      <c r="H10" s="31">
        <v>30</v>
      </c>
      <c r="I10" s="37">
        <f t="shared" si="0"/>
        <v>1</v>
      </c>
      <c r="J10" s="37">
        <f t="shared" si="1"/>
        <v>39</v>
      </c>
      <c r="K10" s="35"/>
    </row>
    <row r="11" spans="1:11" ht="15" thickBot="1" x14ac:dyDescent="0.35">
      <c r="A11" s="32">
        <v>10</v>
      </c>
      <c r="B11" s="57" t="s">
        <v>63</v>
      </c>
      <c r="C11" s="32">
        <v>30</v>
      </c>
      <c r="D11" s="32">
        <v>9</v>
      </c>
      <c r="E11" s="32">
        <v>11</v>
      </c>
      <c r="F11" s="32">
        <v>10</v>
      </c>
      <c r="G11" s="32">
        <v>38</v>
      </c>
      <c r="H11" s="31">
        <v>38</v>
      </c>
      <c r="I11" s="37">
        <f t="shared" si="0"/>
        <v>0</v>
      </c>
      <c r="J11" s="37">
        <f t="shared" si="1"/>
        <v>38</v>
      </c>
      <c r="K11" s="35"/>
    </row>
    <row r="12" spans="1:11" ht="15" customHeight="1" thickBot="1" x14ac:dyDescent="0.35">
      <c r="A12" s="32">
        <v>11</v>
      </c>
      <c r="B12" s="57" t="s">
        <v>64</v>
      </c>
      <c r="C12" s="32">
        <v>30</v>
      </c>
      <c r="D12" s="32">
        <v>9</v>
      </c>
      <c r="E12" s="32">
        <v>10</v>
      </c>
      <c r="F12" s="32">
        <v>11</v>
      </c>
      <c r="G12" s="32">
        <v>38</v>
      </c>
      <c r="H12" s="31">
        <v>34</v>
      </c>
      <c r="I12" s="37">
        <f t="shared" si="0"/>
        <v>4</v>
      </c>
      <c r="J12" s="37">
        <f t="shared" si="1"/>
        <v>37</v>
      </c>
      <c r="K12" s="35"/>
    </row>
    <row r="13" spans="1:11" ht="15" customHeight="1" thickBot="1" x14ac:dyDescent="0.35">
      <c r="A13" s="32">
        <v>12</v>
      </c>
      <c r="B13" s="57" t="s">
        <v>65</v>
      </c>
      <c r="C13" s="32">
        <v>30</v>
      </c>
      <c r="D13" s="32">
        <v>9</v>
      </c>
      <c r="E13" s="32">
        <v>8</v>
      </c>
      <c r="F13" s="32">
        <v>13</v>
      </c>
      <c r="G13" s="32">
        <v>25</v>
      </c>
      <c r="H13" s="31">
        <v>37</v>
      </c>
      <c r="I13" s="37">
        <f t="shared" si="0"/>
        <v>-12</v>
      </c>
      <c r="J13" s="37">
        <f t="shared" si="1"/>
        <v>35</v>
      </c>
      <c r="K13" s="35"/>
    </row>
    <row r="14" spans="1:11" ht="15" thickBot="1" x14ac:dyDescent="0.35">
      <c r="A14" s="32">
        <v>13</v>
      </c>
      <c r="B14" s="57" t="s">
        <v>66</v>
      </c>
      <c r="C14" s="32">
        <v>30</v>
      </c>
      <c r="D14" s="32">
        <v>9</v>
      </c>
      <c r="E14" s="32">
        <v>8</v>
      </c>
      <c r="F14" s="32">
        <v>13</v>
      </c>
      <c r="G14" s="32">
        <v>31</v>
      </c>
      <c r="H14" s="31">
        <v>48</v>
      </c>
      <c r="I14" s="37">
        <f t="shared" si="0"/>
        <v>-17</v>
      </c>
      <c r="J14" s="37">
        <f t="shared" si="1"/>
        <v>35</v>
      </c>
      <c r="K14" s="35"/>
    </row>
    <row r="15" spans="1:11" ht="15" customHeight="1" thickBot="1" x14ac:dyDescent="0.35">
      <c r="A15" s="32">
        <v>14</v>
      </c>
      <c r="B15" s="57" t="s">
        <v>67</v>
      </c>
      <c r="C15" s="32">
        <v>30</v>
      </c>
      <c r="D15" s="32">
        <v>9</v>
      </c>
      <c r="E15" s="32">
        <v>8</v>
      </c>
      <c r="F15" s="32">
        <v>13</v>
      </c>
      <c r="G15" s="32">
        <v>30</v>
      </c>
      <c r="H15" s="31">
        <v>40</v>
      </c>
      <c r="I15" s="37">
        <f t="shared" si="0"/>
        <v>-10</v>
      </c>
      <c r="J15" s="37">
        <f t="shared" si="1"/>
        <v>35</v>
      </c>
      <c r="K15" s="35"/>
    </row>
    <row r="16" spans="1:11" ht="15" customHeight="1" thickBot="1" x14ac:dyDescent="0.35">
      <c r="A16" s="32">
        <v>15</v>
      </c>
      <c r="B16" s="57" t="s">
        <v>68</v>
      </c>
      <c r="C16" s="32">
        <v>30</v>
      </c>
      <c r="D16" s="32">
        <v>7</v>
      </c>
      <c r="E16" s="32">
        <v>11</v>
      </c>
      <c r="F16" s="32">
        <v>12</v>
      </c>
      <c r="G16" s="32">
        <v>32</v>
      </c>
      <c r="H16" s="31">
        <v>43</v>
      </c>
      <c r="I16" s="37">
        <f t="shared" si="0"/>
        <v>-11</v>
      </c>
      <c r="J16" s="37">
        <f t="shared" si="1"/>
        <v>32</v>
      </c>
      <c r="K16" s="36"/>
    </row>
    <row r="17" spans="1:11" ht="15" thickBot="1" x14ac:dyDescent="0.35">
      <c r="A17" s="32">
        <v>16</v>
      </c>
      <c r="B17" s="57" t="s">
        <v>69</v>
      </c>
      <c r="C17" s="32">
        <v>30</v>
      </c>
      <c r="D17" s="32">
        <v>2</v>
      </c>
      <c r="E17" s="32">
        <v>2</v>
      </c>
      <c r="F17" s="32">
        <v>26</v>
      </c>
      <c r="G17" s="32">
        <v>17</v>
      </c>
      <c r="H17" s="31">
        <v>89</v>
      </c>
      <c r="I17" s="37">
        <f t="shared" si="0"/>
        <v>-72</v>
      </c>
      <c r="J17" s="37">
        <f>D17*3+E17*1</f>
        <v>8</v>
      </c>
      <c r="K17" s="36"/>
    </row>
    <row r="18" spans="1:11" x14ac:dyDescent="0.3">
      <c r="K18" s="33"/>
    </row>
  </sheetData>
  <conditionalFormatting sqref="D1">
    <cfRule type="iconSet" priority="12">
      <iconSet iconSet="3Symbols2">
        <cfvo type="percent" val="0"/>
        <cfvo type="formula" val="MAX($D$2:$D$16)"/>
        <cfvo type="formula" val="MAX($D$2:$D$16)"/>
      </iconSet>
    </cfRule>
  </conditionalFormatting>
  <conditionalFormatting sqref="I2:I17">
    <cfRule type="cellIs" dxfId="2" priority="5" operator="equal">
      <formula>0</formula>
    </cfRule>
    <cfRule type="top10" dxfId="1" priority="6" bottom="1" rank="3"/>
    <cfRule type="top10" dxfId="0" priority="8" rank="3"/>
  </conditionalFormatting>
  <conditionalFormatting sqref="J1:J17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{57BBAA28-B1B9-400D-B9DC-E5278CF545F8}</x14:id>
        </ext>
      </extLst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BBAA28-B1B9-400D-B9DC-E5278CF545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J1:J17</xm:sqref>
        </x14:conditionalFormatting>
        <x14:conditionalFormatting xmlns:xm="http://schemas.microsoft.com/office/excel/2006/main">
          <x14:cfRule type="iconSet" priority="11" id="{8F0010BF-7E8E-41DB-ADC3-55BC731610D0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D1</xm:sqref>
        </x14:conditionalFormatting>
        <x14:conditionalFormatting xmlns:xm="http://schemas.microsoft.com/office/excel/2006/main">
          <x14:cfRule type="iconSet" priority="10" id="{A6C46E0E-EF94-4FC2-9A53-A27A3EDE4DEC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1"/>
            </x14:iconSet>
          </x14:cfRule>
          <xm:sqref>E1</xm:sqref>
        </x14:conditionalFormatting>
        <x14:conditionalFormatting xmlns:xm="http://schemas.microsoft.com/office/excel/2006/main">
          <x14:cfRule type="iconSet" priority="9" id="{1244842A-EC31-4F7B-AC9F-161DD79E0AB6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0"/>
            </x14:iconSet>
          </x14:cfRule>
          <xm:sqref>F1</xm:sqref>
        </x14:conditionalFormatting>
        <x14:conditionalFormatting xmlns:xm="http://schemas.microsoft.com/office/excel/2006/main">
          <x14:cfRule type="iconSet" priority="4" id="{1A471791-7594-4D21-9597-AC190DA4AA02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D2:D17</xm:sqref>
        </x14:conditionalFormatting>
        <x14:conditionalFormatting xmlns:xm="http://schemas.microsoft.com/office/excel/2006/main">
          <x14:cfRule type="iconSet" priority="3" id="{CAF1732D-38F5-464F-927F-6F834547FE0E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1"/>
            </x14:iconSet>
          </x14:cfRule>
          <xm:sqref>E2:E17</xm:sqref>
        </x14:conditionalFormatting>
        <x14:conditionalFormatting xmlns:xm="http://schemas.microsoft.com/office/excel/2006/main">
          <x14:cfRule type="iconSet" priority="2" id="{B51946D8-59DE-410C-9668-3D1F7F0525DE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0"/>
            </x14:iconSet>
          </x14:cfRule>
          <xm:sqref>F2:F17</xm:sqref>
        </x14:conditionalFormatting>
        <x14:conditionalFormatting xmlns:xm="http://schemas.microsoft.com/office/excel/2006/main">
          <x14:cfRule type="iconSet" priority="1" id="{F67F3FFF-449D-4204-B791-DA2F78E16D1E}">
            <x14:iconSet iconSet="3Arrows"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Arrows" iconId="2"/>
            </x14:iconSet>
          </x14:cfRule>
          <xm:sqref>G2:G17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14"/>
  <sheetViews>
    <sheetView tabSelected="1" workbookViewId="0">
      <selection activeCell="C3" sqref="C3"/>
    </sheetView>
  </sheetViews>
  <sheetFormatPr defaultRowHeight="14.4" x14ac:dyDescent="0.3"/>
  <cols>
    <col min="1" max="1" width="25.5546875" customWidth="1"/>
    <col min="2" max="2" width="15.33203125" customWidth="1"/>
    <col min="3" max="3" width="20.5546875" customWidth="1"/>
  </cols>
  <sheetData>
    <row r="1" spans="1:3" x14ac:dyDescent="0.3">
      <c r="A1" t="s">
        <v>80</v>
      </c>
    </row>
    <row r="2" spans="1:3" x14ac:dyDescent="0.3">
      <c r="A2" s="38" t="s">
        <v>81</v>
      </c>
      <c r="B2" s="38" t="s">
        <v>82</v>
      </c>
      <c r="C2" s="38" t="s">
        <v>83</v>
      </c>
    </row>
    <row r="3" spans="1:3" x14ac:dyDescent="0.3">
      <c r="A3" s="37" t="s">
        <v>84</v>
      </c>
      <c r="B3" s="37">
        <v>6</v>
      </c>
      <c r="C3" s="37" t="str">
        <f>IF((COUNTIF('Таблица 2'!$A$3:$A$13,A3)) = 0, "Нет на рынке",VLOOKUP(A3,'Таблица 2'!$A$3:$B$13,2,FALSE)*B3)</f>
        <v>Нет на рынке</v>
      </c>
    </row>
    <row r="4" spans="1:3" x14ac:dyDescent="0.3">
      <c r="A4" s="37" t="s">
        <v>85</v>
      </c>
      <c r="B4" s="37">
        <v>2</v>
      </c>
      <c r="C4" s="37">
        <f>IF((COUNTIF('Таблица 2'!$A$3:$A$13,A4)) = 0, "Нет на рынке",VLOOKUP(A4,'Таблица 2'!$A$3:$B$13,2,FALSE)*B4)</f>
        <v>310</v>
      </c>
    </row>
    <row r="5" spans="1:3" x14ac:dyDescent="0.3">
      <c r="A5" s="37" t="s">
        <v>86</v>
      </c>
      <c r="B5" s="37">
        <v>1</v>
      </c>
      <c r="C5" s="37" t="str">
        <f>IF((COUNTIF('Таблица 2'!$A$3:$A$13,A5)) = 0, "Нет на рынке",VLOOKUP(A5,'Таблица 2'!$A$3:$B$13,2,FALSE)*B5)</f>
        <v>Нет на рынке</v>
      </c>
    </row>
    <row r="6" spans="1:3" x14ac:dyDescent="0.3">
      <c r="A6" s="37" t="s">
        <v>87</v>
      </c>
      <c r="B6" s="37">
        <v>4</v>
      </c>
      <c r="C6" s="37">
        <f>IF((COUNTIF('Таблица 2'!$A$3:$A$13,A6)) = 0, "Нет на рынке",VLOOKUP(A6,'Таблица 2'!$A$3:$B$13,2,FALSE)*B6)</f>
        <v>184</v>
      </c>
    </row>
    <row r="7" spans="1:3" x14ac:dyDescent="0.3">
      <c r="A7" s="37" t="s">
        <v>88</v>
      </c>
      <c r="B7" s="37">
        <v>2</v>
      </c>
      <c r="C7" s="37">
        <f>IF((COUNTIF('Таблица 2'!$A$3:$A$13,A7)) = 0, "Нет на рынке",VLOOKUP(A7,'Таблица 2'!$A$3:$B$13,2,FALSE)*B7)</f>
        <v>52</v>
      </c>
    </row>
    <row r="8" spans="1:3" x14ac:dyDescent="0.3">
      <c r="A8" s="37" t="s">
        <v>89</v>
      </c>
      <c r="B8" s="37">
        <v>5</v>
      </c>
      <c r="C8" s="37">
        <f>IF((COUNTIF('Таблица 2'!$A$3:$A$13,A8)) = 0, "Нет на рынке",VLOOKUP(A8,'Таблица 2'!$A$3:$B$13,2,FALSE)*B8)</f>
        <v>5000</v>
      </c>
    </row>
    <row r="9" spans="1:3" x14ac:dyDescent="0.3">
      <c r="A9" s="37" t="s">
        <v>90</v>
      </c>
      <c r="B9" s="37">
        <v>3</v>
      </c>
      <c r="C9" s="37">
        <f>IF((COUNTIF('Таблица 2'!$A$3:$A$13,A9)) = 0, "Нет на рынке",VLOOKUP(A9,'Таблица 2'!$A$3:$B$13,2,FALSE)*B9)</f>
        <v>21</v>
      </c>
    </row>
    <row r="10" spans="1:3" x14ac:dyDescent="0.3">
      <c r="A10" s="37" t="s">
        <v>91</v>
      </c>
      <c r="B10" s="37">
        <v>9</v>
      </c>
      <c r="C10" s="37">
        <f>IF((COUNTIF('Таблица 2'!$A$3:$A$13,A10)) = 0, "Нет на рынке",VLOOKUP(A10,'Таблица 2'!$A$3:$B$13,2,FALSE)*B10)</f>
        <v>58.5</v>
      </c>
    </row>
    <row r="11" spans="1:3" x14ac:dyDescent="0.3">
      <c r="A11" s="37" t="s">
        <v>92</v>
      </c>
      <c r="B11" s="37">
        <v>7</v>
      </c>
      <c r="C11" s="37" t="str">
        <f>IF((COUNTIF('Таблица 2'!$A$3:$A$13,A11)) = 0, "Нет на рынке",VLOOKUP(A11,'Таблица 2'!$A$3:$B$13,2,FALSE)*B11)</f>
        <v>Нет на рынке</v>
      </c>
    </row>
    <row r="12" spans="1:3" x14ac:dyDescent="0.3">
      <c r="A12" s="37" t="s">
        <v>93</v>
      </c>
      <c r="B12" s="37">
        <v>2</v>
      </c>
      <c r="C12" s="37">
        <f>IF((COUNTIF('Таблица 2'!$A$3:$A$13,A12)) = 0, "Нет на рынке",VLOOKUP(A12,'Таблица 2'!$A$3:$B$13,2,FALSE)*B12)</f>
        <v>1000</v>
      </c>
    </row>
    <row r="13" spans="1:3" x14ac:dyDescent="0.3">
      <c r="A13" s="37" t="s">
        <v>94</v>
      </c>
      <c r="B13" s="37">
        <v>1</v>
      </c>
      <c r="C13" s="37">
        <f>IF((COUNTIF('Таблица 2'!$A$3:$A$13,A13)) = 0, "Нет на рынке",VLOOKUP(A13,'Таблица 2'!$A$3:$B$13,2,FALSE)*B13)</f>
        <v>19</v>
      </c>
    </row>
    <row r="14" spans="1:3" x14ac:dyDescent="0.3">
      <c r="B14" s="39" t="s">
        <v>95</v>
      </c>
      <c r="C14" s="37">
        <f>SUM(C3:C13)</f>
        <v>6644.5</v>
      </c>
    </row>
  </sheetData>
  <conditionalFormatting sqref="C3:C13">
    <cfRule type="cellIs" dxfId="3" priority="1" operator="equal">
      <formula>"Нет на рынке"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B13"/>
  <sheetViews>
    <sheetView workbookViewId="0">
      <selection activeCell="B4" sqref="B4"/>
    </sheetView>
  </sheetViews>
  <sheetFormatPr defaultRowHeight="14.4" x14ac:dyDescent="0.3"/>
  <cols>
    <col min="1" max="1" width="26.33203125" customWidth="1"/>
    <col min="2" max="2" width="12.5546875" customWidth="1"/>
  </cols>
  <sheetData>
    <row r="1" spans="1:2" x14ac:dyDescent="0.3">
      <c r="A1" t="s">
        <v>108</v>
      </c>
    </row>
    <row r="2" spans="1:2" x14ac:dyDescent="0.3">
      <c r="A2" s="40" t="s">
        <v>81</v>
      </c>
      <c r="B2" s="40" t="s">
        <v>96</v>
      </c>
    </row>
    <row r="3" spans="1:2" x14ac:dyDescent="0.3">
      <c r="A3" s="37" t="s">
        <v>85</v>
      </c>
      <c r="B3" s="41">
        <v>155</v>
      </c>
    </row>
    <row r="4" spans="1:2" x14ac:dyDescent="0.3">
      <c r="A4" s="37" t="s">
        <v>88</v>
      </c>
      <c r="B4" s="41">
        <v>26</v>
      </c>
    </row>
    <row r="5" spans="1:2" x14ac:dyDescent="0.3">
      <c r="A5" s="37" t="s">
        <v>89</v>
      </c>
      <c r="B5" s="41">
        <v>1000</v>
      </c>
    </row>
    <row r="6" spans="1:2" x14ac:dyDescent="0.3">
      <c r="A6" s="37" t="s">
        <v>90</v>
      </c>
      <c r="B6" s="41">
        <v>7</v>
      </c>
    </row>
    <row r="7" spans="1:2" x14ac:dyDescent="0.3">
      <c r="A7" s="37" t="s">
        <v>97</v>
      </c>
      <c r="B7" s="41">
        <v>1.5</v>
      </c>
    </row>
    <row r="8" spans="1:2" x14ac:dyDescent="0.3">
      <c r="A8" s="37" t="s">
        <v>93</v>
      </c>
      <c r="B8" s="41">
        <v>500</v>
      </c>
    </row>
    <row r="9" spans="1:2" x14ac:dyDescent="0.3">
      <c r="A9" s="37" t="s">
        <v>98</v>
      </c>
      <c r="B9" s="41">
        <v>450</v>
      </c>
    </row>
    <row r="10" spans="1:2" x14ac:dyDescent="0.3">
      <c r="A10" s="37" t="s">
        <v>99</v>
      </c>
      <c r="B10" s="41">
        <v>53</v>
      </c>
    </row>
    <row r="11" spans="1:2" x14ac:dyDescent="0.3">
      <c r="A11" s="37" t="s">
        <v>94</v>
      </c>
      <c r="B11" s="41">
        <v>19</v>
      </c>
    </row>
    <row r="12" spans="1:2" x14ac:dyDescent="0.3">
      <c r="A12" s="37" t="s">
        <v>87</v>
      </c>
      <c r="B12" s="41">
        <v>46</v>
      </c>
    </row>
    <row r="13" spans="1:2" x14ac:dyDescent="0.3">
      <c r="A13" s="37" t="s">
        <v>91</v>
      </c>
      <c r="B13" s="41">
        <v>6.5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3:E13"/>
  <sheetViews>
    <sheetView workbookViewId="0">
      <selection activeCell="I10" sqref="I10"/>
    </sheetView>
  </sheetViews>
  <sheetFormatPr defaultRowHeight="14.4" x14ac:dyDescent="0.3"/>
  <cols>
    <col min="1" max="2" width="10" customWidth="1"/>
    <col min="3" max="3" width="10.33203125" bestFit="1" customWidth="1"/>
    <col min="4" max="4" width="10.77734375" bestFit="1" customWidth="1"/>
    <col min="5" max="5" width="10" customWidth="1"/>
  </cols>
  <sheetData>
    <row r="3" spans="1:5" x14ac:dyDescent="0.3">
      <c r="A3" t="s">
        <v>100</v>
      </c>
      <c r="D3" s="56">
        <v>43743</v>
      </c>
    </row>
    <row r="5" spans="1:5" x14ac:dyDescent="0.3">
      <c r="A5" s="50" t="s">
        <v>101</v>
      </c>
      <c r="B5" s="51"/>
      <c r="C5" s="52">
        <v>1</v>
      </c>
    </row>
    <row r="6" spans="1:5" x14ac:dyDescent="0.3">
      <c r="A6" s="37" t="s">
        <v>102</v>
      </c>
      <c r="B6" s="37" t="s">
        <v>103</v>
      </c>
      <c r="C6" s="37" t="s">
        <v>104</v>
      </c>
      <c r="D6" s="37" t="s">
        <v>105</v>
      </c>
      <c r="E6" s="37" t="s">
        <v>106</v>
      </c>
    </row>
    <row r="7" spans="1:5" x14ac:dyDescent="0.3">
      <c r="A7" s="54">
        <v>43743</v>
      </c>
      <c r="B7" s="53">
        <v>0.41666666666666669</v>
      </c>
      <c r="C7" s="37" t="s">
        <v>107</v>
      </c>
      <c r="D7" s="37" t="str">
        <f>IF($C$5=1,"Команда 5",IF($C$5=2,"Команда 6",IF($C$5=3,"Команда 7",IF($C$5=4,"Команда 8","Команда 2"))))</f>
        <v>Команда 5</v>
      </c>
      <c r="E7" s="37"/>
    </row>
    <row r="8" spans="1:5" x14ac:dyDescent="0.3">
      <c r="A8" s="54">
        <v>43743</v>
      </c>
      <c r="B8" s="53">
        <v>0.5</v>
      </c>
      <c r="C8" s="37" t="str">
        <f>IF($C$5=5,"Команда 3","Команда 2")</f>
        <v>Команда 2</v>
      </c>
      <c r="D8" s="37" t="str">
        <f>IF($C$5=1,"Команда 6",IF($C$5=2,"Команда 7",IF($C$5=3,"Команда 8",IF($C$5=4,"Команда 5","Команда 4"))))</f>
        <v>Команда 6</v>
      </c>
      <c r="E8" s="37"/>
    </row>
    <row r="9" spans="1:5" x14ac:dyDescent="0.3">
      <c r="A9" s="54">
        <v>43744</v>
      </c>
      <c r="B9" s="53">
        <v>0.41666666666666669</v>
      </c>
      <c r="C9" s="37" t="str">
        <f>IF($C$5=5,"Команда 5","Команда 3")</f>
        <v>Команда 3</v>
      </c>
      <c r="D9" s="37" t="str">
        <f>IF($C$5=1,"Команда 7",IF($C$5=2,"Команда 8",IF($C$5=3,"Команда 5",IF($C$5=4,"Команда 6","Команда 6"))))</f>
        <v>Команда 7</v>
      </c>
      <c r="E9" s="37"/>
    </row>
    <row r="10" spans="1:5" x14ac:dyDescent="0.3">
      <c r="A10" s="54">
        <v>43744</v>
      </c>
      <c r="B10" s="53">
        <v>0.5</v>
      </c>
      <c r="C10" s="37" t="str">
        <f>IF($C$5=5,"Команда 7","Команда 4")</f>
        <v>Команда 4</v>
      </c>
      <c r="D10" s="37" t="str">
        <f>IF($C$5=1,"Команда 8",IF($C$5=2,"Команда 5",IF($C$5=3,"Команда 6",IF($C$5=4,"Команда 7","Команда 8"))))</f>
        <v>Команда 8</v>
      </c>
      <c r="E10" s="37"/>
    </row>
    <row r="13" spans="1:5" x14ac:dyDescent="0.3">
      <c r="E13" s="55"/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5"/>
  <dimension ref="A3:F13"/>
  <sheetViews>
    <sheetView workbookViewId="0">
      <selection activeCell="C15" sqref="C15"/>
    </sheetView>
  </sheetViews>
  <sheetFormatPr defaultColWidth="10" defaultRowHeight="14.4" x14ac:dyDescent="0.3"/>
  <sheetData>
    <row r="3" spans="1:6" x14ac:dyDescent="0.3">
      <c r="A3" t="s">
        <v>100</v>
      </c>
      <c r="D3" s="56">
        <v>43743</v>
      </c>
    </row>
    <row r="5" spans="1:6" x14ac:dyDescent="0.3">
      <c r="A5" s="50" t="s">
        <v>101</v>
      </c>
      <c r="B5" s="51"/>
      <c r="C5" s="52">
        <v>2</v>
      </c>
      <c r="F5" t="s">
        <v>109</v>
      </c>
    </row>
    <row r="6" spans="1:6" x14ac:dyDescent="0.3">
      <c r="A6" s="37" t="s">
        <v>102</v>
      </c>
      <c r="B6" s="37" t="s">
        <v>103</v>
      </c>
      <c r="C6" s="37" t="s">
        <v>104</v>
      </c>
      <c r="D6" s="37" t="s">
        <v>105</v>
      </c>
      <c r="E6" s="37" t="s">
        <v>106</v>
      </c>
    </row>
    <row r="7" spans="1:6" x14ac:dyDescent="0.3">
      <c r="A7" s="54">
        <v>43750</v>
      </c>
      <c r="B7" s="53">
        <v>0.41666666666666669</v>
      </c>
      <c r="C7" s="37" t="s">
        <v>107</v>
      </c>
      <c r="D7" s="37" t="str">
        <f>IF($C$5=1,"Команда 5",IF($C$5=2,"Команда 6",IF($C$5=3,"Команда 7",IF($C$5=4,"Команда 8","Команда 2"))))</f>
        <v>Команда 6</v>
      </c>
      <c r="E7" s="37"/>
    </row>
    <row r="8" spans="1:6" x14ac:dyDescent="0.3">
      <c r="A8" s="54">
        <v>43750</v>
      </c>
      <c r="B8" s="53">
        <v>0.5</v>
      </c>
      <c r="C8" s="37" t="str">
        <f>IF($C$5=5,"Команда 3","Команда 2")</f>
        <v>Команда 2</v>
      </c>
      <c r="D8" s="37" t="str">
        <f>IF($C$5=1,"Команда 6",IF($C$5=2,"Команда 7",IF($C$5=3,"Команда 8",IF($C$5=4,"Команда 5","Команда 4"))))</f>
        <v>Команда 7</v>
      </c>
      <c r="E8" s="37"/>
    </row>
    <row r="9" spans="1:6" x14ac:dyDescent="0.3">
      <c r="A9" s="54">
        <v>43751</v>
      </c>
      <c r="B9" s="53">
        <v>0.41666666666666669</v>
      </c>
      <c r="C9" s="37" t="str">
        <f>IF($C$5=5,"Команда 5","Команда 3")</f>
        <v>Команда 3</v>
      </c>
      <c r="D9" s="37" t="str">
        <f>IF($C$5=1,"Команда 7",IF($C$5=2,"Команда 8",IF($C$5=3,"Команда 5",IF($C$5=4,"Команда 6","Команда 6"))))</f>
        <v>Команда 8</v>
      </c>
      <c r="E9" s="37"/>
    </row>
    <row r="10" spans="1:6" x14ac:dyDescent="0.3">
      <c r="A10" s="54">
        <v>43751</v>
      </c>
      <c r="B10" s="53">
        <v>0.5</v>
      </c>
      <c r="C10" s="37" t="str">
        <f>IF($C$5=5,"Команда 7","Команда 4")</f>
        <v>Команда 4</v>
      </c>
      <c r="D10" s="37" t="str">
        <f>IF($C$5=1,"Команда 8",IF($C$5=2,"Команда 5",IF($C$5=3,"Команда 6",IF($C$5=4,"Команда 7","Команда 8"))))</f>
        <v>Команда 5</v>
      </c>
      <c r="E10" s="37"/>
    </row>
    <row r="13" spans="1:6" x14ac:dyDescent="0.3">
      <c r="E13" s="5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8"/>
  <dimension ref="A3:E13"/>
  <sheetViews>
    <sheetView workbookViewId="0">
      <selection activeCell="J20" sqref="J20"/>
    </sheetView>
  </sheetViews>
  <sheetFormatPr defaultColWidth="10" defaultRowHeight="14.4" x14ac:dyDescent="0.3"/>
  <sheetData>
    <row r="3" spans="1:5" x14ac:dyDescent="0.3">
      <c r="A3" t="s">
        <v>100</v>
      </c>
      <c r="D3" s="56">
        <v>43743</v>
      </c>
    </row>
    <row r="5" spans="1:5" x14ac:dyDescent="0.3">
      <c r="A5" s="50" t="s">
        <v>101</v>
      </c>
      <c r="B5" s="51"/>
      <c r="C5" s="52">
        <v>3</v>
      </c>
    </row>
    <row r="6" spans="1:5" x14ac:dyDescent="0.3">
      <c r="A6" s="37" t="s">
        <v>102</v>
      </c>
      <c r="B6" s="37" t="s">
        <v>103</v>
      </c>
      <c r="C6" s="37" t="s">
        <v>104</v>
      </c>
      <c r="D6" s="37" t="s">
        <v>105</v>
      </c>
      <c r="E6" s="37" t="s">
        <v>106</v>
      </c>
    </row>
    <row r="7" spans="1:5" x14ac:dyDescent="0.3">
      <c r="A7" s="54">
        <v>43757</v>
      </c>
      <c r="B7" s="53">
        <v>0.41666666666666669</v>
      </c>
      <c r="C7" s="37" t="s">
        <v>107</v>
      </c>
      <c r="D7" s="37" t="str">
        <f>IF($C$5=1,"Команда 5",IF($C$5=2,"Команда 6",IF($C$5=3,"Команда 7",IF($C$5=4,"Команда 8","Команда 2"))))</f>
        <v>Команда 7</v>
      </c>
      <c r="E7" s="37"/>
    </row>
    <row r="8" spans="1:5" x14ac:dyDescent="0.3">
      <c r="A8" s="54">
        <v>43757</v>
      </c>
      <c r="B8" s="53">
        <v>0.5</v>
      </c>
      <c r="C8" s="37" t="str">
        <f>IF($C$5=5,"Команда 3","Команда 2")</f>
        <v>Команда 2</v>
      </c>
      <c r="D8" s="37" t="str">
        <f>IF($C$5=1,"Команда 6",IF($C$5=2,"Команда 7",IF($C$5=3,"Команда 8",IF($C$5=4,"Команда 5","Команда 4"))))</f>
        <v>Команда 8</v>
      </c>
      <c r="E8" s="37"/>
    </row>
    <row r="9" spans="1:5" x14ac:dyDescent="0.3">
      <c r="A9" s="54">
        <v>43758</v>
      </c>
      <c r="B9" s="53">
        <v>0.41666666666666669</v>
      </c>
      <c r="C9" s="37" t="str">
        <f>IF($C$5=5,"Команда 5","Команда 3")</f>
        <v>Команда 3</v>
      </c>
      <c r="D9" s="37" t="str">
        <f>IF($C$5=1,"Команда 7",IF($C$5=2,"Команда 8",IF($C$5=3,"Команда 5",IF($C$5=4,"Команда 6","Команда 6"))))</f>
        <v>Команда 5</v>
      </c>
      <c r="E9" s="37"/>
    </row>
    <row r="10" spans="1:5" x14ac:dyDescent="0.3">
      <c r="A10" s="54">
        <v>43758</v>
      </c>
      <c r="B10" s="53">
        <v>0.5</v>
      </c>
      <c r="C10" s="37" t="str">
        <f>IF($C$5=5,"Команда 7","Команда 4")</f>
        <v>Команда 4</v>
      </c>
      <c r="D10" s="37" t="str">
        <f>IF($C$5=1,"Команда 8",IF($C$5=2,"Команда 5",IF($C$5=3,"Команда 6",IF($C$5=4,"Команда 7","Команда 8"))))</f>
        <v>Команда 6</v>
      </c>
      <c r="E10" s="37"/>
    </row>
    <row r="13" spans="1:5" x14ac:dyDescent="0.3">
      <c r="E13" s="5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B9</vt:lpstr>
      <vt:lpstr>Справочник</vt:lpstr>
      <vt:lpstr>Расчет отпускных</vt:lpstr>
      <vt:lpstr>E98</vt:lpstr>
      <vt:lpstr>Таблица 1</vt:lpstr>
      <vt:lpstr>Таблица 2</vt:lpstr>
      <vt:lpstr>Турнир 1</vt:lpstr>
      <vt:lpstr>Турнир  2</vt:lpstr>
      <vt:lpstr>Турнир 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Max-PC</dc:creator>
  <cp:lastModifiedBy>Max-PC</cp:lastModifiedBy>
  <dcterms:created xsi:type="dcterms:W3CDTF">2020-12-04T15:45:46Z</dcterms:created>
  <dcterms:modified xsi:type="dcterms:W3CDTF">2020-12-07T13:21:02Z</dcterms:modified>
</cp:coreProperties>
</file>